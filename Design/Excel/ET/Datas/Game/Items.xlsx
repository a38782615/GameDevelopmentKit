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Work\ugit\myGameDevelopmentKit\Design\Excel\ET\Datas\Game\"/>
    </mc:Choice>
  </mc:AlternateContent>
  <xr:revisionPtr revIDLastSave="0" documentId="13_ncr:1_{F4D20F4B-7FB6-464B-B045-EEDC575ECD6B}" xr6:coauthVersionLast="47" xr6:coauthVersionMax="47" xr10:uidLastSave="{00000000-0000-0000-0000-000000000000}"/>
  <bookViews>
    <workbookView xWindow="-110" yWindow="-110" windowWidth="25820" windowHeight="13900" activeTab="4" xr2:uid="{00000000-000D-0000-FFFF-FFFF00000000}"/>
  </bookViews>
  <sheets>
    <sheet name="Herb" sheetId="2" r:id="rId1"/>
    <sheet name="Weapon" sheetId="3" r:id="rId2"/>
    <sheet name="Medicine" sheetId="5" r:id="rId3"/>
    <sheet name="Other" sheetId="4" r:id="rId4"/>
    <sheet name="Book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6" l="1"/>
  <c r="D4" i="6"/>
  <c r="D4" i="4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4" i="2"/>
  <c r="D5" i="5"/>
  <c r="D4" i="3"/>
  <c r="D4" i="5"/>
</calcChain>
</file>

<file path=xl/sharedStrings.xml><?xml version="1.0" encoding="utf-8"?>
<sst xmlns="http://schemas.openxmlformats.org/spreadsheetml/2006/main" count="247" uniqueCount="112">
  <si>
    <t>##var</t>
  </si>
  <si>
    <t>##type</t>
  </si>
  <si>
    <t>int</t>
  </si>
  <si>
    <t>##</t>
  </si>
  <si>
    <t>名称</t>
    <phoneticPr fontId="4" type="noConversion"/>
  </si>
  <si>
    <t>int</t>
    <phoneticPr fontId="4" type="noConversion"/>
  </si>
  <si>
    <t>Diamond</t>
    <phoneticPr fontId="4" type="noConversion"/>
  </si>
  <si>
    <t>Id</t>
    <phoneticPr fontId="4" type="noConversion"/>
  </si>
  <si>
    <t>string</t>
    <phoneticPr fontId="4" type="noConversion"/>
  </si>
  <si>
    <t>聚气草</t>
  </si>
  <si>
    <t>凡阶下品</t>
  </si>
  <si>
    <t>青云山</t>
  </si>
  <si>
    <t>炼制聚气丹主药</t>
  </si>
  <si>
    <t>凝露花</t>
  </si>
  <si>
    <t>溪谷</t>
  </si>
  <si>
    <t>吸收晨露而生</t>
  </si>
  <si>
    <t>黄精根</t>
  </si>
  <si>
    <t>凡阶中品</t>
  </si>
  <si>
    <t>山林</t>
  </si>
  <si>
    <t>补充气血</t>
  </si>
  <si>
    <t>青灵叶</t>
  </si>
  <si>
    <t>山崖</t>
  </si>
  <si>
    <t>蕴含微弱灵气</t>
  </si>
  <si>
    <t>赤阳果</t>
  </si>
  <si>
    <t>凡阶上品</t>
  </si>
  <si>
    <t>火山区域</t>
  </si>
  <si>
    <t>火属性灵果</t>
  </si>
  <si>
    <t>寒霜草</t>
  </si>
  <si>
    <t>雪山</t>
  </si>
  <si>
    <t>冰属性灵草</t>
  </si>
  <si>
    <t>回春藤</t>
  </si>
  <si>
    <t>密林</t>
  </si>
  <si>
    <t>恢复伤势</t>
  </si>
  <si>
    <t>地灵芝</t>
  </si>
  <si>
    <t>黄阶下品</t>
  </si>
  <si>
    <t>洞穴</t>
  </si>
  <si>
    <t>提升灵力</t>
  </si>
  <si>
    <t>紫云花</t>
  </si>
  <si>
    <t>秘境外围</t>
  </si>
  <si>
    <t>筑基辅助</t>
  </si>
  <si>
    <t>金髓草</t>
  </si>
  <si>
    <t>黄阶中品</t>
  </si>
  <si>
    <t>秘境</t>
  </si>
  <si>
    <t>淬体灵药</t>
  </si>
  <si>
    <t>玄阴草</t>
  </si>
  <si>
    <t>阴煞之地</t>
  </si>
  <si>
    <t>阴属性材料</t>
  </si>
  <si>
    <t>赤炎花</t>
  </si>
  <si>
    <t>熔岩地带</t>
  </si>
  <si>
    <t>阳属性材料</t>
  </si>
  <si>
    <t>七叶灵芝</t>
  </si>
  <si>
    <t>黄阶上品</t>
  </si>
  <si>
    <t>灵脉附近</t>
  </si>
  <si>
    <t>高品质灵药</t>
  </si>
  <si>
    <t>玉髓果</t>
  </si>
  <si>
    <t>灵树</t>
  </si>
  <si>
    <t>炼丹佳品</t>
  </si>
  <si>
    <t>筑基果</t>
  </si>
  <si>
    <t>玄阶下品</t>
  </si>
  <si>
    <t>秘境核心</t>
  </si>
  <si>
    <t>筑基丹主药</t>
  </si>
  <si>
    <t>龙血草</t>
  </si>
  <si>
    <t>玄阶中品</t>
  </si>
  <si>
    <t>龙穴</t>
  </si>
  <si>
    <t>强化肉身</t>
  </si>
  <si>
    <t>玄灵花</t>
  </si>
  <si>
    <t>古遗迹</t>
  </si>
  <si>
    <t>突破境界</t>
  </si>
  <si>
    <t>九叶金莲</t>
  </si>
  <si>
    <t>玄阶上品</t>
  </si>
  <si>
    <t>灵池</t>
  </si>
  <si>
    <t>珍贵灵药</t>
  </si>
  <si>
    <t>天心草</t>
  </si>
  <si>
    <t>地阶下品</t>
  </si>
  <si>
    <t>禁地</t>
  </si>
  <si>
    <t>结丹材料</t>
  </si>
  <si>
    <t>化婴果</t>
  </si>
  <si>
    <t>天阶</t>
  </si>
  <si>
    <t>上古秘境</t>
  </si>
  <si>
    <t>元婴材料</t>
  </si>
  <si>
    <t>品阶</t>
    <phoneticPr fontId="4" type="noConversion"/>
  </si>
  <si>
    <t>价值</t>
    <phoneticPr fontId="4" type="noConversion"/>
  </si>
  <si>
    <t>生长区域</t>
    <phoneticPr fontId="4" type="noConversion"/>
  </si>
  <si>
    <t>描述</t>
    <phoneticPr fontId="4" type="noConversion"/>
  </si>
  <si>
    <t>Desc</t>
    <phoneticPr fontId="4" type="noConversion"/>
  </si>
  <si>
    <t>Level</t>
    <phoneticPr fontId="4" type="noConversion"/>
  </si>
  <si>
    <t>AreaName</t>
    <phoneticPr fontId="4" type="noConversion"/>
  </si>
  <si>
    <t>玄铁飞剑</t>
    <phoneticPr fontId="4" type="noConversion"/>
  </si>
  <si>
    <t>围绕在身边的飞剑</t>
    <phoneticPr fontId="4" type="noConversion"/>
  </si>
  <si>
    <t>掉落</t>
    <phoneticPr fontId="4" type="noConversion"/>
  </si>
  <si>
    <t>天剑宗</t>
    <phoneticPr fontId="4" type="noConversion"/>
  </si>
  <si>
    <t>ItemType</t>
    <phoneticPr fontId="4" type="noConversion"/>
  </si>
  <si>
    <t>类型</t>
    <phoneticPr fontId="4" type="noConversion"/>
  </si>
  <si>
    <t>Attr</t>
    <phoneticPr fontId="4" type="noConversion"/>
  </si>
  <si>
    <t>属性</t>
    <phoneticPr fontId="4" type="noConversion"/>
  </si>
  <si>
    <t>##type</t>
    <phoneticPr fontId="4" type="noConversion"/>
  </si>
  <si>
    <t>(map#sep=,;),int,long</t>
    <phoneticPr fontId="4" type="noConversion"/>
  </si>
  <si>
    <t>储物袋</t>
    <phoneticPr fontId="9" type="noConversion"/>
  </si>
  <si>
    <t>家</t>
    <phoneticPr fontId="4" type="noConversion"/>
  </si>
  <si>
    <t>40001,40</t>
    <phoneticPr fontId="4" type="noConversion"/>
  </si>
  <si>
    <t>Name</t>
    <phoneticPr fontId="9" type="noConversion"/>
  </si>
  <si>
    <t>培元丹</t>
    <phoneticPr fontId="4" type="noConversion"/>
  </si>
  <si>
    <t>凝血丹</t>
    <phoneticPr fontId="4" type="noConversion"/>
  </si>
  <si>
    <t>增加血量</t>
    <phoneticPr fontId="4" type="noConversion"/>
  </si>
  <si>
    <t>增加气量</t>
    <phoneticPr fontId="4" type="noConversion"/>
  </si>
  <si>
    <t>10062,100</t>
    <phoneticPr fontId="9" type="noConversion"/>
  </si>
  <si>
    <t>10062,100</t>
    <phoneticPr fontId="4" type="noConversion"/>
  </si>
  <si>
    <t>10062,10</t>
    <phoneticPr fontId="9" type="noConversion"/>
  </si>
  <si>
    <t>string</t>
  </si>
  <si>
    <t>string</t>
    <phoneticPr fontId="9" type="noConversion"/>
  </si>
  <si>
    <t>1008,1</t>
    <phoneticPr fontId="4" type="noConversion"/>
  </si>
  <si>
    <t>1001,1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</si>
</sst>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10" x14ac:knownFonts="1">
    <font>
      <sz val="11"/>
      <color theme="1"/>
      <name val="宋体"/>
      <charset val="134"/>
      <scheme val="minor"/>
    </font>
    <font>
      <sz val="9"/>
      <color theme="1"/>
      <name val="微软雅黑"/>
      <family val="2"/>
      <charset val="134"/>
    </font>
    <font>
      <b/>
      <sz val="9"/>
      <color theme="1"/>
      <name val="微软雅黑"/>
      <family val="2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006100"/>
      <name val="宋体"/>
      <family val="3"/>
      <charset val="134"/>
      <scheme val="minor"/>
    </font>
    <font>
      <sz val="11"/>
      <color rgb="FF9C0006"/>
      <name val="宋体"/>
      <family val="3"/>
      <charset val="134"/>
      <scheme val="minor"/>
    </font>
    <font>
      <sz val="9"/>
      <name val="宋体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3" fillId="0" borderId="0"/>
    <xf numFmtId="0" fontId="5" fillId="3" borderId="0">
      <alignment vertical="center"/>
    </xf>
    <xf numFmtId="0" fontId="6" fillId="4" borderId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7" fillId="3" borderId="1" xfId="2" applyFont="1" applyBorder="1" applyAlignment="1"/>
    <xf numFmtId="176" fontId="2" fillId="2" borderId="0" xfId="0" applyNumberFormat="1" applyFont="1" applyFill="1"/>
    <xf numFmtId="0" fontId="8" fillId="4" borderId="1" xfId="3" applyFont="1" applyBorder="1" applyAlignment="1"/>
    <xf numFmtId="0" fontId="3" fillId="0" borderId="0" xfId="0" applyFont="1" applyAlignment="1">
      <alignment vertical="center" wrapText="1"/>
    </xf>
    <xf numFmtId="0" fontId="3" fillId="0" borderId="0" xfId="0" applyFont="1"/>
    <xf numFmtId="49" fontId="3" fillId="0" borderId="0" xfId="0" applyNumberFormat="1" applyFont="1"/>
  </cellXfs>
  <cellStyles count="4">
    <cellStyle name="差" xfId="3" builtinId="27"/>
    <cellStyle name="常规" xfId="0" builtinId="0"/>
    <cellStyle name="常规 2" xfId="1" xr:uid="{00000000-0005-0000-0000-000001000000}"/>
    <cellStyle name="好" xfId="2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3"/>
  <sheetViews>
    <sheetView workbookViewId="0">
      <selection activeCell="A24" sqref="A24"/>
    </sheetView>
  </sheetViews>
  <sheetFormatPr defaultRowHeight="14" x14ac:dyDescent="0.25"/>
  <cols>
    <col min="2" max="2" width="6.26953125" bestFit="1" customWidth="1"/>
    <col min="3" max="3" width="8.90625" bestFit="1" customWidth="1"/>
    <col min="4" max="4" width="13.08984375" customWidth="1"/>
    <col min="5" max="5" width="9.90625" customWidth="1"/>
    <col min="6" max="6" width="7.81640625" customWidth="1"/>
    <col min="7" max="7" width="11.08984375" customWidth="1"/>
    <col min="9" max="9" width="9.90625" bestFit="1" customWidth="1"/>
    <col min="10" max="10" width="17.81640625" customWidth="1"/>
    <col min="11" max="11" width="19.7265625" customWidth="1"/>
  </cols>
  <sheetData>
    <row r="1" spans="1:11" ht="15.5" customHeight="1" x14ac:dyDescent="0.4">
      <c r="A1" s="3" t="s">
        <v>0</v>
      </c>
      <c r="B1" s="2" t="s">
        <v>7</v>
      </c>
      <c r="C1" s="2" t="s">
        <v>91</v>
      </c>
      <c r="D1" s="2" t="s">
        <v>100</v>
      </c>
      <c r="E1" s="2"/>
      <c r="F1" s="2" t="s">
        <v>85</v>
      </c>
      <c r="G1" s="2"/>
      <c r="H1" s="4" t="s">
        <v>6</v>
      </c>
      <c r="I1" s="4" t="s">
        <v>86</v>
      </c>
      <c r="J1" s="2" t="s">
        <v>84</v>
      </c>
      <c r="K1" s="2" t="s">
        <v>93</v>
      </c>
    </row>
    <row r="2" spans="1:11" ht="15.5" customHeight="1" x14ac:dyDescent="0.4">
      <c r="A2" s="5" t="s">
        <v>1</v>
      </c>
      <c r="B2" s="2" t="s">
        <v>5</v>
      </c>
      <c r="C2" s="2" t="s">
        <v>2</v>
      </c>
      <c r="D2" s="2" t="s">
        <v>109</v>
      </c>
      <c r="E2" s="2"/>
      <c r="F2" s="2" t="s">
        <v>5</v>
      </c>
      <c r="G2" s="2"/>
      <c r="H2" s="4" t="s">
        <v>5</v>
      </c>
      <c r="I2" s="4" t="s">
        <v>8</v>
      </c>
      <c r="J2" s="2" t="s">
        <v>8</v>
      </c>
      <c r="K2" s="2" t="s">
        <v>96</v>
      </c>
    </row>
    <row r="3" spans="1:11" ht="15.5" customHeight="1" x14ac:dyDescent="0.4">
      <c r="A3" s="3" t="s">
        <v>3</v>
      </c>
      <c r="B3" s="2"/>
      <c r="C3" s="2" t="s">
        <v>92</v>
      </c>
      <c r="D3" s="2" t="s">
        <v>4</v>
      </c>
      <c r="E3" s="2" t="s">
        <v>4</v>
      </c>
      <c r="F3" s="2" t="s">
        <v>80</v>
      </c>
      <c r="G3" s="2" t="s">
        <v>80</v>
      </c>
      <c r="H3" s="4" t="s">
        <v>81</v>
      </c>
      <c r="I3" s="4" t="s">
        <v>82</v>
      </c>
      <c r="J3" s="2" t="s">
        <v>83</v>
      </c>
      <c r="K3" s="2" t="s">
        <v>94</v>
      </c>
    </row>
    <row r="4" spans="1:11" ht="15" customHeight="1" x14ac:dyDescent="0.35">
      <c r="A4" s="1"/>
      <c r="B4" s="6">
        <v>10001</v>
      </c>
      <c r="C4" s="6">
        <v>1</v>
      </c>
      <c r="D4" s="6" t="str">
        <f>_xlfn.CONCAT( "Item",B4)</f>
        <v>Item10001</v>
      </c>
      <c r="E4" s="6" t="s">
        <v>9</v>
      </c>
      <c r="F4" s="6">
        <v>1001</v>
      </c>
      <c r="G4" s="6" t="s">
        <v>10</v>
      </c>
      <c r="H4" s="6">
        <v>5</v>
      </c>
      <c r="I4" s="6" t="s">
        <v>11</v>
      </c>
      <c r="J4" s="6" t="s">
        <v>12</v>
      </c>
    </row>
    <row r="5" spans="1:11" ht="15" customHeight="1" x14ac:dyDescent="0.25">
      <c r="B5" s="6">
        <v>10002</v>
      </c>
      <c r="C5" s="6">
        <v>1</v>
      </c>
      <c r="D5" s="6" t="str">
        <f t="shared" ref="D5:D23" si="0">_xlfn.CONCAT( "Item",B5)</f>
        <v>Item10002</v>
      </c>
      <c r="E5" s="6" t="s">
        <v>13</v>
      </c>
      <c r="F5" s="6">
        <v>1001</v>
      </c>
      <c r="G5" s="6" t="s">
        <v>10</v>
      </c>
      <c r="H5" s="6">
        <v>8</v>
      </c>
      <c r="I5" s="6" t="s">
        <v>14</v>
      </c>
      <c r="J5" s="6" t="s">
        <v>15</v>
      </c>
    </row>
    <row r="6" spans="1:11" x14ac:dyDescent="0.25">
      <c r="B6" s="6">
        <v>10003</v>
      </c>
      <c r="C6" s="6">
        <v>1</v>
      </c>
      <c r="D6" s="6" t="str">
        <f t="shared" si="0"/>
        <v>Item10003</v>
      </c>
      <c r="E6" s="6" t="s">
        <v>16</v>
      </c>
      <c r="F6" s="6">
        <v>1002</v>
      </c>
      <c r="G6" s="6" t="s">
        <v>17</v>
      </c>
      <c r="H6" s="6">
        <v>12</v>
      </c>
      <c r="I6" s="6" t="s">
        <v>18</v>
      </c>
      <c r="J6" s="6" t="s">
        <v>19</v>
      </c>
    </row>
    <row r="7" spans="1:11" x14ac:dyDescent="0.25">
      <c r="B7" s="6">
        <v>10004</v>
      </c>
      <c r="C7" s="6">
        <v>1</v>
      </c>
      <c r="D7" s="6" t="str">
        <f t="shared" si="0"/>
        <v>Item10004</v>
      </c>
      <c r="E7" s="6" t="s">
        <v>20</v>
      </c>
      <c r="F7" s="6">
        <v>1002</v>
      </c>
      <c r="G7" s="6" t="s">
        <v>17</v>
      </c>
      <c r="H7" s="6">
        <v>15</v>
      </c>
      <c r="I7" s="6" t="s">
        <v>21</v>
      </c>
      <c r="J7" s="6" t="s">
        <v>22</v>
      </c>
    </row>
    <row r="8" spans="1:11" x14ac:dyDescent="0.25">
      <c r="B8" s="6">
        <v>10005</v>
      </c>
      <c r="C8" s="6">
        <v>1</v>
      </c>
      <c r="D8" s="6" t="str">
        <f t="shared" si="0"/>
        <v>Item10005</v>
      </c>
      <c r="E8" s="6" t="s">
        <v>23</v>
      </c>
      <c r="F8" s="6">
        <v>1003</v>
      </c>
      <c r="G8" s="6" t="s">
        <v>24</v>
      </c>
      <c r="H8" s="6">
        <v>25</v>
      </c>
      <c r="I8" s="6" t="s">
        <v>25</v>
      </c>
      <c r="J8" s="6" t="s">
        <v>26</v>
      </c>
    </row>
    <row r="9" spans="1:11" x14ac:dyDescent="0.25">
      <c r="B9" s="6">
        <v>10006</v>
      </c>
      <c r="C9" s="6">
        <v>1</v>
      </c>
      <c r="D9" s="6" t="str">
        <f t="shared" si="0"/>
        <v>Item10006</v>
      </c>
      <c r="E9" s="6" t="s">
        <v>27</v>
      </c>
      <c r="F9" s="6">
        <v>1003</v>
      </c>
      <c r="G9" s="6" t="s">
        <v>24</v>
      </c>
      <c r="H9" s="6">
        <v>25</v>
      </c>
      <c r="I9" s="6" t="s">
        <v>28</v>
      </c>
      <c r="J9" s="6" t="s">
        <v>29</v>
      </c>
    </row>
    <row r="10" spans="1:11" x14ac:dyDescent="0.25">
      <c r="B10" s="6">
        <v>10007</v>
      </c>
      <c r="C10" s="6">
        <v>1</v>
      </c>
      <c r="D10" s="6" t="str">
        <f t="shared" si="0"/>
        <v>Item10007</v>
      </c>
      <c r="E10" s="6" t="s">
        <v>30</v>
      </c>
      <c r="F10" s="6">
        <v>1003</v>
      </c>
      <c r="G10" s="6" t="s">
        <v>24</v>
      </c>
      <c r="H10" s="6">
        <v>30</v>
      </c>
      <c r="I10" s="6" t="s">
        <v>31</v>
      </c>
      <c r="J10" s="6" t="s">
        <v>32</v>
      </c>
    </row>
    <row r="11" spans="1:11" x14ac:dyDescent="0.25">
      <c r="B11" s="6">
        <v>10008</v>
      </c>
      <c r="C11" s="6">
        <v>1</v>
      </c>
      <c r="D11" s="6" t="str">
        <f t="shared" si="0"/>
        <v>Item10008</v>
      </c>
      <c r="E11" s="6" t="s">
        <v>33</v>
      </c>
      <c r="F11" s="6">
        <v>2001</v>
      </c>
      <c r="G11" s="6" t="s">
        <v>34</v>
      </c>
      <c r="H11" s="6">
        <v>50</v>
      </c>
      <c r="I11" s="6" t="s">
        <v>35</v>
      </c>
      <c r="J11" s="6" t="s">
        <v>36</v>
      </c>
    </row>
    <row r="12" spans="1:11" x14ac:dyDescent="0.25">
      <c r="B12" s="6">
        <v>10009</v>
      </c>
      <c r="C12" s="6">
        <v>1</v>
      </c>
      <c r="D12" s="6" t="str">
        <f t="shared" si="0"/>
        <v>Item10009</v>
      </c>
      <c r="E12" s="6" t="s">
        <v>37</v>
      </c>
      <c r="F12" s="6">
        <v>2001</v>
      </c>
      <c r="G12" s="6" t="s">
        <v>34</v>
      </c>
      <c r="H12" s="6">
        <v>60</v>
      </c>
      <c r="I12" s="6" t="s">
        <v>38</v>
      </c>
      <c r="J12" s="6" t="s">
        <v>39</v>
      </c>
    </row>
    <row r="13" spans="1:11" x14ac:dyDescent="0.25">
      <c r="B13" s="6">
        <v>10010</v>
      </c>
      <c r="C13" s="6">
        <v>1</v>
      </c>
      <c r="D13" s="6" t="str">
        <f t="shared" si="0"/>
        <v>Item10010</v>
      </c>
      <c r="E13" s="6" t="s">
        <v>40</v>
      </c>
      <c r="F13" s="6">
        <v>2002</v>
      </c>
      <c r="G13" s="6" t="s">
        <v>41</v>
      </c>
      <c r="H13" s="6">
        <v>80</v>
      </c>
      <c r="I13" s="6" t="s">
        <v>42</v>
      </c>
      <c r="J13" s="6" t="s">
        <v>43</v>
      </c>
    </row>
    <row r="14" spans="1:11" x14ac:dyDescent="0.25">
      <c r="B14" s="6">
        <v>10011</v>
      </c>
      <c r="C14" s="6">
        <v>1</v>
      </c>
      <c r="D14" s="6" t="str">
        <f t="shared" si="0"/>
        <v>Item10011</v>
      </c>
      <c r="E14" s="6" t="s">
        <v>44</v>
      </c>
      <c r="F14" s="6">
        <v>2002</v>
      </c>
      <c r="G14" s="6" t="s">
        <v>41</v>
      </c>
      <c r="H14" s="6">
        <v>100</v>
      </c>
      <c r="I14" s="6" t="s">
        <v>45</v>
      </c>
      <c r="J14" s="6" t="s">
        <v>46</v>
      </c>
    </row>
    <row r="15" spans="1:11" x14ac:dyDescent="0.25">
      <c r="B15" s="6">
        <v>10012</v>
      </c>
      <c r="C15" s="6">
        <v>1</v>
      </c>
      <c r="D15" s="6" t="str">
        <f t="shared" si="0"/>
        <v>Item10012</v>
      </c>
      <c r="E15" s="6" t="s">
        <v>47</v>
      </c>
      <c r="F15" s="6">
        <v>2002</v>
      </c>
      <c r="G15" s="6" t="s">
        <v>41</v>
      </c>
      <c r="H15" s="6">
        <v>100</v>
      </c>
      <c r="I15" s="6" t="s">
        <v>48</v>
      </c>
      <c r="J15" s="6" t="s">
        <v>49</v>
      </c>
    </row>
    <row r="16" spans="1:11" x14ac:dyDescent="0.25">
      <c r="B16" s="6">
        <v>10013</v>
      </c>
      <c r="C16" s="6">
        <v>1</v>
      </c>
      <c r="D16" s="6" t="str">
        <f t="shared" si="0"/>
        <v>Item10013</v>
      </c>
      <c r="E16" s="6" t="s">
        <v>50</v>
      </c>
      <c r="F16" s="6">
        <v>2003</v>
      </c>
      <c r="G16" s="6" t="s">
        <v>51</v>
      </c>
      <c r="H16" s="6">
        <v>150</v>
      </c>
      <c r="I16" s="6" t="s">
        <v>52</v>
      </c>
      <c r="J16" s="6" t="s">
        <v>53</v>
      </c>
    </row>
    <row r="17" spans="2:10" x14ac:dyDescent="0.25">
      <c r="B17" s="6">
        <v>10014</v>
      </c>
      <c r="C17" s="6">
        <v>1</v>
      </c>
      <c r="D17" s="6" t="str">
        <f t="shared" si="0"/>
        <v>Item10014</v>
      </c>
      <c r="E17" s="6" t="s">
        <v>54</v>
      </c>
      <c r="F17" s="6">
        <v>2003</v>
      </c>
      <c r="G17" s="6" t="s">
        <v>51</v>
      </c>
      <c r="H17" s="6">
        <v>200</v>
      </c>
      <c r="I17" s="6" t="s">
        <v>55</v>
      </c>
      <c r="J17" s="6" t="s">
        <v>56</v>
      </c>
    </row>
    <row r="18" spans="2:10" x14ac:dyDescent="0.25">
      <c r="B18" s="6">
        <v>10015</v>
      </c>
      <c r="C18" s="6">
        <v>1</v>
      </c>
      <c r="D18" s="6" t="str">
        <f t="shared" si="0"/>
        <v>Item10015</v>
      </c>
      <c r="E18" s="6" t="s">
        <v>57</v>
      </c>
      <c r="F18" s="6">
        <v>3001</v>
      </c>
      <c r="G18" s="6" t="s">
        <v>58</v>
      </c>
      <c r="H18" s="6">
        <v>500</v>
      </c>
      <c r="I18" s="6" t="s">
        <v>59</v>
      </c>
      <c r="J18" s="6" t="s">
        <v>60</v>
      </c>
    </row>
    <row r="19" spans="2:10" x14ac:dyDescent="0.25">
      <c r="B19" s="6">
        <v>10016</v>
      </c>
      <c r="C19" s="6">
        <v>1</v>
      </c>
      <c r="D19" s="6" t="str">
        <f t="shared" si="0"/>
        <v>Item10016</v>
      </c>
      <c r="E19" s="6" t="s">
        <v>61</v>
      </c>
      <c r="F19" s="6">
        <v>3002</v>
      </c>
      <c r="G19" s="6" t="s">
        <v>62</v>
      </c>
      <c r="H19" s="6">
        <v>800</v>
      </c>
      <c r="I19" s="6" t="s">
        <v>63</v>
      </c>
      <c r="J19" s="6" t="s">
        <v>64</v>
      </c>
    </row>
    <row r="20" spans="2:10" x14ac:dyDescent="0.25">
      <c r="B20" s="6">
        <v>10017</v>
      </c>
      <c r="C20" s="6">
        <v>1</v>
      </c>
      <c r="D20" s="6" t="str">
        <f t="shared" si="0"/>
        <v>Item10017</v>
      </c>
      <c r="E20" s="6" t="s">
        <v>65</v>
      </c>
      <c r="F20" s="6">
        <v>3002</v>
      </c>
      <c r="G20" s="6" t="s">
        <v>62</v>
      </c>
      <c r="H20" s="6">
        <v>900</v>
      </c>
      <c r="I20" s="6" t="s">
        <v>66</v>
      </c>
      <c r="J20" s="6" t="s">
        <v>67</v>
      </c>
    </row>
    <row r="21" spans="2:10" x14ac:dyDescent="0.25">
      <c r="B21" s="6">
        <v>10018</v>
      </c>
      <c r="C21" s="6">
        <v>1</v>
      </c>
      <c r="D21" s="6" t="str">
        <f t="shared" si="0"/>
        <v>Item10018</v>
      </c>
      <c r="E21" s="6" t="s">
        <v>68</v>
      </c>
      <c r="F21" s="6">
        <v>3003</v>
      </c>
      <c r="G21" s="6" t="s">
        <v>69</v>
      </c>
      <c r="H21" s="6">
        <v>1500</v>
      </c>
      <c r="I21" s="6" t="s">
        <v>70</v>
      </c>
      <c r="J21" s="6" t="s">
        <v>71</v>
      </c>
    </row>
    <row r="22" spans="2:10" x14ac:dyDescent="0.25">
      <c r="B22" s="6">
        <v>10019</v>
      </c>
      <c r="C22" s="6">
        <v>1</v>
      </c>
      <c r="D22" s="6" t="str">
        <f t="shared" si="0"/>
        <v>Item10019</v>
      </c>
      <c r="E22" s="6" t="s">
        <v>72</v>
      </c>
      <c r="F22" s="6">
        <v>4001</v>
      </c>
      <c r="G22" s="6" t="s">
        <v>73</v>
      </c>
      <c r="H22" s="6">
        <v>3000</v>
      </c>
      <c r="I22" s="6" t="s">
        <v>74</v>
      </c>
      <c r="J22" s="6" t="s">
        <v>75</v>
      </c>
    </row>
    <row r="23" spans="2:10" x14ac:dyDescent="0.25">
      <c r="B23" s="6">
        <v>10020</v>
      </c>
      <c r="C23" s="6">
        <v>1</v>
      </c>
      <c r="D23" s="6" t="str">
        <f t="shared" si="0"/>
        <v>Item10020</v>
      </c>
      <c r="E23" s="6" t="s">
        <v>76</v>
      </c>
      <c r="F23" s="6">
        <v>5001</v>
      </c>
      <c r="G23" s="6" t="s">
        <v>77</v>
      </c>
      <c r="H23" s="6">
        <v>10000</v>
      </c>
      <c r="I23" s="6" t="s">
        <v>78</v>
      </c>
      <c r="J23" s="6" t="s">
        <v>79</v>
      </c>
    </row>
  </sheetData>
  <phoneticPr fontId="4" type="noConversion"/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B71DD-E84C-462E-964C-DA5C95539497}">
  <dimension ref="A1:K5"/>
  <sheetViews>
    <sheetView workbookViewId="0">
      <selection activeCell="D2" sqref="D2"/>
    </sheetView>
  </sheetViews>
  <sheetFormatPr defaultRowHeight="14" x14ac:dyDescent="0.25"/>
  <cols>
    <col min="4" max="4" width="10.26953125" bestFit="1" customWidth="1"/>
    <col min="10" max="10" width="17.90625" bestFit="1" customWidth="1"/>
    <col min="11" max="11" width="21.81640625" customWidth="1"/>
  </cols>
  <sheetData>
    <row r="1" spans="1:11" ht="15.5" x14ac:dyDescent="0.4">
      <c r="A1" s="3" t="s">
        <v>0</v>
      </c>
      <c r="B1" s="2" t="s">
        <v>7</v>
      </c>
      <c r="C1" s="2" t="s">
        <v>91</v>
      </c>
      <c r="D1" s="2" t="s">
        <v>100</v>
      </c>
      <c r="E1" s="2"/>
      <c r="F1" s="2" t="s">
        <v>85</v>
      </c>
      <c r="G1" s="2"/>
      <c r="H1" s="4" t="s">
        <v>6</v>
      </c>
      <c r="I1" s="4" t="s">
        <v>86</v>
      </c>
      <c r="J1" s="2" t="s">
        <v>84</v>
      </c>
      <c r="K1" s="2" t="s">
        <v>93</v>
      </c>
    </row>
    <row r="2" spans="1:11" ht="15.5" x14ac:dyDescent="0.4">
      <c r="A2" s="5" t="s">
        <v>95</v>
      </c>
      <c r="B2" s="2" t="s">
        <v>5</v>
      </c>
      <c r="C2" s="2" t="s">
        <v>2</v>
      </c>
      <c r="D2" s="2" t="s">
        <v>109</v>
      </c>
      <c r="E2" s="2"/>
      <c r="F2" s="2" t="s">
        <v>5</v>
      </c>
      <c r="G2" s="2"/>
      <c r="H2" s="4" t="s">
        <v>5</v>
      </c>
      <c r="I2" s="4" t="s">
        <v>8</v>
      </c>
      <c r="J2" s="2" t="s">
        <v>8</v>
      </c>
      <c r="K2" s="2" t="s">
        <v>96</v>
      </c>
    </row>
    <row r="3" spans="1:11" ht="15.5" x14ac:dyDescent="0.4">
      <c r="A3" s="3" t="s">
        <v>3</v>
      </c>
      <c r="B3" s="2"/>
      <c r="C3" s="2" t="s">
        <v>92</v>
      </c>
      <c r="D3" s="2" t="s">
        <v>4</v>
      </c>
      <c r="E3" s="2" t="s">
        <v>4</v>
      </c>
      <c r="F3" s="2" t="s">
        <v>80</v>
      </c>
      <c r="G3" s="2" t="s">
        <v>80</v>
      </c>
      <c r="H3" s="4" t="s">
        <v>81</v>
      </c>
      <c r="I3" s="4" t="s">
        <v>89</v>
      </c>
      <c r="J3" s="2" t="s">
        <v>83</v>
      </c>
      <c r="K3" s="2" t="s">
        <v>94</v>
      </c>
    </row>
    <row r="4" spans="1:11" ht="15" x14ac:dyDescent="0.35">
      <c r="A4" s="1"/>
      <c r="B4" s="6">
        <v>20001</v>
      </c>
      <c r="C4" s="6">
        <v>2</v>
      </c>
      <c r="D4" s="6" t="str">
        <f>_xlfn.CONCAT( "Item",B4)</f>
        <v>Item20001</v>
      </c>
      <c r="E4" s="6" t="s">
        <v>87</v>
      </c>
      <c r="F4" s="6">
        <v>1001</v>
      </c>
      <c r="G4" s="6" t="s">
        <v>10</v>
      </c>
      <c r="H4" s="6">
        <v>5</v>
      </c>
      <c r="I4" s="6" t="s">
        <v>90</v>
      </c>
      <c r="J4" s="6" t="s">
        <v>88</v>
      </c>
      <c r="K4" s="8" t="s">
        <v>107</v>
      </c>
    </row>
    <row r="5" spans="1:11" x14ac:dyDescent="0.25">
      <c r="K5" s="8"/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4AAD7-9068-4031-85A0-E09E52882DE2}">
  <dimension ref="A1:K5"/>
  <sheetViews>
    <sheetView workbookViewId="0">
      <selection activeCell="B2" sqref="A1:K5"/>
    </sheetView>
  </sheetViews>
  <sheetFormatPr defaultRowHeight="14" x14ac:dyDescent="0.25"/>
  <cols>
    <col min="4" max="4" width="13.36328125" customWidth="1"/>
    <col min="10" max="10" width="20" customWidth="1"/>
    <col min="11" max="11" width="19.1796875" customWidth="1"/>
  </cols>
  <sheetData>
    <row r="1" spans="1:11" ht="15.5" x14ac:dyDescent="0.4">
      <c r="A1" s="3" t="s">
        <v>0</v>
      </c>
      <c r="B1" s="2" t="s">
        <v>7</v>
      </c>
      <c r="C1" s="2" t="s">
        <v>91</v>
      </c>
      <c r="D1" s="2" t="s">
        <v>100</v>
      </c>
      <c r="E1" s="2"/>
      <c r="F1" s="2" t="s">
        <v>85</v>
      </c>
      <c r="G1" s="2"/>
      <c r="H1" s="4" t="s">
        <v>6</v>
      </c>
      <c r="I1" s="4" t="s">
        <v>86</v>
      </c>
      <c r="J1" s="2" t="s">
        <v>84</v>
      </c>
      <c r="K1" s="2" t="s">
        <v>93</v>
      </c>
    </row>
    <row r="2" spans="1:11" ht="15.5" x14ac:dyDescent="0.4">
      <c r="A2" s="5" t="s">
        <v>1</v>
      </c>
      <c r="B2" s="2" t="s">
        <v>5</v>
      </c>
      <c r="C2" s="2" t="s">
        <v>2</v>
      </c>
      <c r="D2" s="2" t="s">
        <v>109</v>
      </c>
      <c r="E2" s="2"/>
      <c r="F2" s="2" t="s">
        <v>5</v>
      </c>
      <c r="G2" s="2"/>
      <c r="H2" s="4" t="s">
        <v>5</v>
      </c>
      <c r="I2" s="4" t="s">
        <v>8</v>
      </c>
      <c r="J2" s="2" t="s">
        <v>8</v>
      </c>
      <c r="K2" s="2" t="s">
        <v>96</v>
      </c>
    </row>
    <row r="3" spans="1:11" ht="15.5" x14ac:dyDescent="0.4">
      <c r="A3" s="3" t="s">
        <v>3</v>
      </c>
      <c r="B3" s="2"/>
      <c r="C3" s="2" t="s">
        <v>92</v>
      </c>
      <c r="D3" s="2" t="s">
        <v>4</v>
      </c>
      <c r="E3" s="2" t="s">
        <v>4</v>
      </c>
      <c r="F3" s="2" t="s">
        <v>80</v>
      </c>
      <c r="G3" s="2" t="s">
        <v>80</v>
      </c>
      <c r="H3" s="4" t="s">
        <v>81</v>
      </c>
      <c r="I3" s="4" t="s">
        <v>82</v>
      </c>
      <c r="J3" s="2" t="s">
        <v>83</v>
      </c>
      <c r="K3" s="2" t="s">
        <v>94</v>
      </c>
    </row>
    <row r="4" spans="1:11" x14ac:dyDescent="0.25">
      <c r="B4" s="6">
        <v>30001</v>
      </c>
      <c r="C4" s="6">
        <v>3</v>
      </c>
      <c r="D4" s="6" t="str">
        <f>_xlfn.CONCAT( "Item",B4)</f>
        <v>Item30001</v>
      </c>
      <c r="E4" s="6" t="s">
        <v>101</v>
      </c>
      <c r="F4" s="6">
        <v>1001</v>
      </c>
      <c r="G4" s="6" t="s">
        <v>10</v>
      </c>
      <c r="H4" s="6">
        <v>5</v>
      </c>
      <c r="I4" s="6" t="s">
        <v>90</v>
      </c>
      <c r="J4" s="6" t="s">
        <v>103</v>
      </c>
      <c r="K4" s="8" t="s">
        <v>105</v>
      </c>
    </row>
    <row r="5" spans="1:11" x14ac:dyDescent="0.25">
      <c r="B5" s="6">
        <v>30002</v>
      </c>
      <c r="C5" s="6">
        <v>3</v>
      </c>
      <c r="D5" s="6" t="str">
        <f>_xlfn.CONCAT( "Item",B5)</f>
        <v>Item30002</v>
      </c>
      <c r="E5" s="6" t="s">
        <v>102</v>
      </c>
      <c r="F5" s="6">
        <v>1001</v>
      </c>
      <c r="G5" s="6" t="s">
        <v>10</v>
      </c>
      <c r="H5" s="6">
        <v>5</v>
      </c>
      <c r="I5" s="6" t="s">
        <v>90</v>
      </c>
      <c r="J5" s="6" t="s">
        <v>104</v>
      </c>
      <c r="K5" s="8" t="s">
        <v>106</v>
      </c>
    </row>
  </sheetData>
  <phoneticPr fontId="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09045-53A1-4CBE-A514-A7EAB2664AE2}">
  <dimension ref="A1:K4"/>
  <sheetViews>
    <sheetView workbookViewId="0">
      <selection activeCell="D2" sqref="D2"/>
    </sheetView>
  </sheetViews>
  <sheetFormatPr defaultRowHeight="14" x14ac:dyDescent="0.25"/>
  <cols>
    <col min="4" max="4" width="15.453125" customWidth="1"/>
    <col min="9" max="9" width="9.90625" bestFit="1" customWidth="1"/>
    <col min="10" max="10" width="17.90625" bestFit="1" customWidth="1"/>
    <col min="11" max="11" width="21.81640625" customWidth="1"/>
  </cols>
  <sheetData>
    <row r="1" spans="1:11" ht="15.5" x14ac:dyDescent="0.4">
      <c r="A1" s="3" t="s">
        <v>0</v>
      </c>
      <c r="B1" s="2" t="s">
        <v>7</v>
      </c>
      <c r="C1" s="2" t="s">
        <v>91</v>
      </c>
      <c r="D1" s="2" t="s">
        <v>100</v>
      </c>
      <c r="E1" s="2"/>
      <c r="F1" s="2" t="s">
        <v>85</v>
      </c>
      <c r="G1" s="2"/>
      <c r="H1" s="4" t="s">
        <v>6</v>
      </c>
      <c r="I1" s="4" t="s">
        <v>86</v>
      </c>
      <c r="J1" s="2" t="s">
        <v>84</v>
      </c>
      <c r="K1" s="2" t="s">
        <v>93</v>
      </c>
    </row>
    <row r="2" spans="1:11" ht="15.5" x14ac:dyDescent="0.4">
      <c r="A2" s="5" t="s">
        <v>95</v>
      </c>
      <c r="B2" s="2" t="s">
        <v>5</v>
      </c>
      <c r="C2" s="2" t="s">
        <v>2</v>
      </c>
      <c r="D2" s="2" t="s">
        <v>108</v>
      </c>
      <c r="E2" s="2"/>
      <c r="F2" s="2" t="s">
        <v>5</v>
      </c>
      <c r="G2" s="2"/>
      <c r="H2" s="4" t="s">
        <v>5</v>
      </c>
      <c r="I2" s="4" t="s">
        <v>8</v>
      </c>
      <c r="J2" s="2" t="s">
        <v>8</v>
      </c>
      <c r="K2" s="2" t="s">
        <v>96</v>
      </c>
    </row>
    <row r="3" spans="1:11" ht="15.5" x14ac:dyDescent="0.4">
      <c r="A3" s="3" t="s">
        <v>3</v>
      </c>
      <c r="B3" s="2"/>
      <c r="C3" s="2" t="s">
        <v>92</v>
      </c>
      <c r="D3" s="2" t="s">
        <v>4</v>
      </c>
      <c r="E3" s="2" t="s">
        <v>4</v>
      </c>
      <c r="F3" s="2" t="s">
        <v>80</v>
      </c>
      <c r="G3" s="2" t="s">
        <v>80</v>
      </c>
      <c r="H3" s="4" t="s">
        <v>81</v>
      </c>
      <c r="I3" s="4" t="s">
        <v>89</v>
      </c>
      <c r="J3" s="2" t="s">
        <v>83</v>
      </c>
      <c r="K3" s="2" t="s">
        <v>94</v>
      </c>
    </row>
    <row r="4" spans="1:11" ht="15" x14ac:dyDescent="0.35">
      <c r="A4" s="1"/>
      <c r="B4" s="6">
        <v>40001</v>
      </c>
      <c r="C4" s="6">
        <v>4</v>
      </c>
      <c r="D4" s="6" t="str">
        <f>_xlfn.CONCAT( "Item",B4)</f>
        <v>Item40001</v>
      </c>
      <c r="E4" s="6" t="s">
        <v>97</v>
      </c>
      <c r="F4" s="6">
        <v>1001</v>
      </c>
      <c r="G4" s="6" t="s">
        <v>10</v>
      </c>
      <c r="H4" s="6">
        <v>5</v>
      </c>
      <c r="I4" s="6" t="s">
        <v>98</v>
      </c>
      <c r="J4" s="6"/>
      <c r="K4" s="7" t="s">
        <v>99</v>
      </c>
    </row>
  </sheetData>
  <phoneticPr fontId="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79835-C1F5-4996-9E7A-E21F2FAF9B9F}">
  <dimension ref="A1:K6"/>
  <sheetViews>
    <sheetView tabSelected="1" workbookViewId="0">
      <selection activeCell="I6" sqref="I6"/>
    </sheetView>
  </sheetViews>
  <sheetFormatPr defaultRowHeight="14" x14ac:dyDescent="0.25"/>
  <cols>
    <col min="4" max="4" width="18.08984375" customWidth="1"/>
    <col min="11" max="11" width="19.81640625" bestFit="1" customWidth="1"/>
  </cols>
  <sheetData>
    <row r="1" spans="1:11" ht="15.5" x14ac:dyDescent="0.4">
      <c r="A1" s="3" t="s">
        <v>0</v>
      </c>
      <c r="B1" s="2" t="s">
        <v>7</v>
      </c>
      <c r="C1" s="2" t="s">
        <v>91</v>
      </c>
      <c r="D1" s="2" t="s">
        <v>100</v>
      </c>
      <c r="E1" s="2"/>
      <c r="F1" s="2" t="s">
        <v>85</v>
      </c>
      <c r="G1" s="2"/>
      <c r="H1" s="4" t="s">
        <v>6</v>
      </c>
      <c r="I1" s="4" t="s">
        <v>86</v>
      </c>
      <c r="J1" s="2" t="s">
        <v>84</v>
      </c>
      <c r="K1" s="2" t="s">
        <v>93</v>
      </c>
    </row>
    <row r="2" spans="1:11" ht="15.5" x14ac:dyDescent="0.4">
      <c r="A2" s="5" t="s">
        <v>1</v>
      </c>
      <c r="B2" s="2" t="s">
        <v>5</v>
      </c>
      <c r="C2" s="2" t="s">
        <v>2</v>
      </c>
      <c r="D2" s="2" t="s">
        <v>109</v>
      </c>
      <c r="E2" s="2"/>
      <c r="F2" s="2" t="s">
        <v>5</v>
      </c>
      <c r="G2" s="2"/>
      <c r="H2" s="4" t="s">
        <v>5</v>
      </c>
      <c r="I2" s="4" t="s">
        <v>8</v>
      </c>
      <c r="J2" s="2" t="s">
        <v>8</v>
      </c>
      <c r="K2" s="2" t="s">
        <v>96</v>
      </c>
    </row>
    <row r="3" spans="1:11" ht="15.5" x14ac:dyDescent="0.4">
      <c r="A3" s="3" t="s">
        <v>3</v>
      </c>
      <c r="B3" s="2"/>
      <c r="C3" s="2" t="s">
        <v>92</v>
      </c>
      <c r="D3" s="2" t="s">
        <v>4</v>
      </c>
      <c r="E3" s="2" t="s">
        <v>4</v>
      </c>
      <c r="F3" s="2" t="s">
        <v>80</v>
      </c>
      <c r="G3" s="2" t="s">
        <v>80</v>
      </c>
      <c r="H3" s="4" t="s">
        <v>81</v>
      </c>
      <c r="I3" s="4" t="s">
        <v>82</v>
      </c>
      <c r="J3" s="2" t="s">
        <v>83</v>
      </c>
      <c r="K3" s="2" t="s">
        <v>94</v>
      </c>
    </row>
    <row r="4" spans="1:11" x14ac:dyDescent="0.25">
      <c r="B4" s="6">
        <v>50001</v>
      </c>
      <c r="C4" s="6">
        <v>5</v>
      </c>
      <c r="D4" s="6" t="str">
        <f>_xlfn.CONCAT( "Item",B4)</f>
        <v>Item50001</v>
      </c>
      <c r="E4" s="6"/>
      <c r="F4" s="6">
        <v>1001</v>
      </c>
      <c r="G4" s="6" t="s">
        <v>10</v>
      </c>
      <c r="H4" s="6">
        <v>5</v>
      </c>
      <c r="I4" s="6" t="s">
        <v>90</v>
      </c>
      <c r="J4" s="6" t="s">
        <v>103</v>
      </c>
      <c r="K4" s="8" t="s">
        <v>111</v>
      </c>
    </row>
    <row r="5" spans="1:11" x14ac:dyDescent="0.25">
      <c r="B5" s="6">
        <v>50002</v>
      </c>
      <c r="C5" s="6">
        <v>5</v>
      </c>
      <c r="D5" s="6" t="str">
        <f>_xlfn.CONCAT( "Item",B5)</f>
        <v>Item50002</v>
      </c>
      <c r="E5" s="6"/>
      <c r="F5" s="6">
        <v>1001</v>
      </c>
      <c r="G5" s="6" t="s">
        <v>10</v>
      </c>
      <c r="H5" s="6">
        <v>5</v>
      </c>
      <c r="I5" s="6" t="s">
        <v>90</v>
      </c>
      <c r="J5" s="6" t="s">
        <v>104</v>
      </c>
      <c r="K5" s="8" t="s">
        <v>110</v>
      </c>
    </row>
    <row r="6" spans="1:11" x14ac:dyDescent="0.25">
      <c r="K6" s="8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Herb</vt:lpstr>
      <vt:lpstr>Weapon</vt:lpstr>
      <vt:lpstr>Medicine</vt:lpstr>
      <vt:lpstr>Other</vt:lpstr>
      <vt:lpstr>Book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guojun yu</cp:lastModifiedBy>
  <dcterms:created xsi:type="dcterms:W3CDTF">2006-09-17T00:00:00Z</dcterms:created>
  <dcterms:modified xsi:type="dcterms:W3CDTF">2026-08-15T13:06:10Z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2052-12.1.0.16929</vt:lpwstr>
  </property>
  <property fmtid="{D5CDD505-2E9C-101B-9397-08002B2CF9AE}" pid="3" name="ICV">
    <vt:lpwstr>4E01E813DE83407EA1950352D7122CD9</vt:lpwstr>
  </property>
</Properties>
</file>